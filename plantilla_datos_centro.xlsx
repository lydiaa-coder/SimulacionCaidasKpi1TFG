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ydia.alvarez\Desktop\TFG\Nube\Simulacion 6. ahora lee hoja escenarios\"/>
    </mc:Choice>
  </mc:AlternateContent>
  <xr:revisionPtr revIDLastSave="0" documentId="13_ncr:1_{BC60ED2D-8BAE-4A17-8657-9E566B7B815A}" xr6:coauthVersionLast="47" xr6:coauthVersionMax="47" xr10:uidLastSave="{00000000-0000-0000-0000-000000000000}"/>
  <bookViews>
    <workbookView xWindow="-108" yWindow="-108" windowWidth="23256" windowHeight="12456" tabRatio="500" activeTab="5" xr2:uid="{00000000-000D-0000-FFFF-FFFF00000000}"/>
  </bookViews>
  <sheets>
    <sheet name="Leer" sheetId="1" r:id="rId1"/>
    <sheet name="Parametros_Generales" sheetId="2" r:id="rId2"/>
    <sheet name="Zonas_Layout" sheetId="3" r:id="rId3"/>
    <sheet name="Deteccion" sheetId="4" r:id="rId4"/>
    <sheet name="Escenarios" sheetId="5" r:id="rId5"/>
    <sheet name="Hipotesi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6" i="3" l="1"/>
  <c r="E6" i="3"/>
  <c r="B6" i="3"/>
  <c r="B7" i="3" s="1"/>
  <c r="H5" i="3"/>
  <c r="G5" i="3"/>
  <c r="H4" i="3"/>
  <c r="G4" i="3"/>
  <c r="H3" i="3"/>
  <c r="G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7" authorId="0" shapeId="0" xr:uid="{00000000-0006-0000-0200-000001000000}">
      <text>
        <r>
          <rPr>
            <sz val="10"/>
            <rFont val="Arial"/>
            <family val="2"/>
          </rPr>
          <t>Comprobación automática: el total de residentes de esta hoja debe coincidir con el valor de 'Nº de residentes totales' de la hoja Parametros_Generales.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LYDIA ALVAREZ ALCALDE</author>
  </authors>
  <commentList>
    <comment ref="E2" authorId="0" shapeId="0" xr:uid="{54D17A0A-199F-4C30-91EB-F2F833C9FB7D}">
      <text>
        <r>
          <rPr>
            <b/>
            <sz val="9"/>
            <color indexed="81"/>
            <rFont val="Tahoma"/>
            <family val="2"/>
          </rPr>
          <t>LYDIA ALVAREZ ALCALDE:</t>
        </r>
        <r>
          <rPr>
            <sz val="9"/>
            <color indexed="81"/>
            <rFont val="Tahoma"/>
            <family val="2"/>
          </rPr>
          <t xml:space="preserve">
Nº medio de incidencias que se fuerzan dentro de la ventana de 4h para el escenario de estrés. El script genera este número de incidencias distribuidas aleatoriamente dentro de la ventana en cada réplica (proceso de Poisson calibrado a esta media). Se fuerzan 8 por defecto.</t>
        </r>
      </text>
    </comment>
  </commentList>
</comments>
</file>

<file path=xl/sharedStrings.xml><?xml version="1.0" encoding="utf-8"?>
<sst xmlns="http://schemas.openxmlformats.org/spreadsheetml/2006/main" count="199" uniqueCount="164">
  <si>
    <t>Qué es este archivo</t>
  </si>
  <si>
    <t>Cómo adaptarlo a otro centro</t>
  </si>
  <si>
    <t>1. Haz una copia de este archivo con el nombre de tu centro.</t>
  </si>
  <si>
    <t>Estructura del archivo</t>
  </si>
  <si>
    <t>Parámetro</t>
  </si>
  <si>
    <t>Valor</t>
  </si>
  <si>
    <t>Unidad</t>
  </si>
  <si>
    <t>Cómo recogerlo / Comentario</t>
  </si>
  <si>
    <t>Fuente</t>
  </si>
  <si>
    <t>Nombre del centro</t>
  </si>
  <si>
    <t>OnaCare</t>
  </si>
  <si>
    <t>Identificador del centro. Solo para tus informes, no afecta al cálculo.</t>
  </si>
  <si>
    <t>Dato del centro</t>
  </si>
  <si>
    <t>Nº de residentes totales</t>
  </si>
  <si>
    <t>residentes</t>
  </si>
  <si>
    <t>Nº de plazas del centro. Debe coincidir con la suma de residentes de la hoja Zonas_Layout.</t>
  </si>
  <si>
    <t>Tasa de caídas</t>
  </si>
  <si>
    <t>caídas/cama/año</t>
  </si>
  <si>
    <t>Si tienes registro interno de incidencias de al menos 1 año, úsalo: (nº caídas registradas) / (nº residentes). Si no lo tienes, usa el valor de referencia de la literatura española de 1,5.</t>
  </si>
  <si>
    <t>Literatura (Da Silva Gama ZA, Gómez-Conesa A. "Factores de riesgo de caídas en ancianos: revisión sistemática." Revista de Saúde Pública. 2008;42(5):946-956. DOI: 10.1590/S0034-89102008000500022).</t>
  </si>
  <si>
    <t>Velocidad de marcha del personal</t>
  </si>
  <si>
    <t>m/min</t>
  </si>
  <si>
    <t>Cálcul orealizado según muestras recogidas de simulaciones realizadas en el centro.</t>
  </si>
  <si>
    <t>Variabilidad del desplazamiento (±)</t>
  </si>
  <si>
    <t>fracción (0-1)</t>
  </si>
  <si>
    <t>Margen calculado sobre el tiempo de desplazamiento calculado, añadiendo obstáculos, tráfico de pasillo, ascensores ocupados, etc.y añadiendo la variabiabilidad de marcha más rápida o poder ir corriendo 0,20 = variación de ±20%.</t>
  </si>
  <si>
    <t xml:space="preserve">Hipótesis </t>
  </si>
  <si>
    <t>Tiempo de atención in situ (mínimo)</t>
  </si>
  <si>
    <t>min</t>
  </si>
  <si>
    <t>Cronometraje del protocolo de valoración tras llegar junto al residente (constantes, valoración, decisión). Mínimo observado.</t>
  </si>
  <si>
    <t>Tiempo de atención in situ (máximo)</t>
  </si>
  <si>
    <t>Igual que el anterior, pero el máximo observado (casos más complejos).</t>
  </si>
  <si>
    <t>probabilidad (0-1)</t>
  </si>
  <si>
    <t>(nº de traslados por caída) / (nº de caídas totales) de tu registro interno, si lo tienes. Si no, usa el valor por defecto de 0,29.</t>
  </si>
  <si>
    <t>Literatura (Rodríguez-Molinero A, Narvaiza L, Gálvez-Barrón C, de la Cruz JJ, Ruíz J, Gonzalo N, et al. "Caídas en la población anciana española: incidencia, consecuencias y factores de riesgo." Rev Esp Geriatr Gerontol.) 2015;50(6):274-80. DOI: 10.1016/j.regg.2015.05.005. (Estudio prospectivo, muestra probabilística de 772 ancianos españoles, seguimiento a 1 año).</t>
  </si>
  <si>
    <t>Hipótesis de mejora clínica: menos tiempo en el suelo implica menos complicaciones graves. No es una medición, es una reducción relativa razonada siguiendo el síndrome de "long lie".</t>
  </si>
  <si>
    <t>Hipótesis según literatura (Kubitza et al., *"Therapy options for those affected by a long lie after
a fall: a scoping review"*, BMC Geriatrics, 2022)</t>
  </si>
  <si>
    <t>Nº de días a simular</t>
  </si>
  <si>
    <t>días</t>
  </si>
  <si>
    <t>Normalmente 365 (un año). Súbelo solo si quieres simular varios años seguidos.</t>
  </si>
  <si>
    <t>-</t>
  </si>
  <si>
    <t>Nº de réplicas independientes</t>
  </si>
  <si>
    <t>réplicas</t>
  </si>
  <si>
    <t>Más réplicas = intervalos de confianza más estrechos, pero más tiempo de cálculo. 300 es un buen equilibrio</t>
  </si>
  <si>
    <t>Semilla aleatoria</t>
  </si>
  <si>
    <t>Fija el punto de partida del generador aleatorio para que el resultado sea reproducible. Cámbiala solo si quieres comprobar la estabilidad del resultado con otra secuencia.</t>
  </si>
  <si>
    <t>Probabilidad de ocupación en tarea no interrumpible</t>
  </si>
  <si>
    <t>Zona</t>
  </si>
  <si>
    <t>Nº residentes</t>
  </si>
  <si>
    <t>Distancia a control
As-Is (m)</t>
  </si>
  <si>
    <t>Distancia a control
To-Be (m)</t>
  </si>
  <si>
    <t>Personal turno
DÍA (nº, home)</t>
  </si>
  <si>
    <t>Personal turno
NOCHE (nº, home)</t>
  </si>
  <si>
    <t>Distancia intra-zona
As-Is (m)</t>
  </si>
  <si>
    <t>Distancia intra-zona
To-Be (m)</t>
  </si>
  <si>
    <t>Módulo A (Planta 1)</t>
  </si>
  <si>
    <t>Módulo B (Planta 2)</t>
  </si>
  <si>
    <t>Módulo C (Planta 3)</t>
  </si>
  <si>
    <t>TOTAL</t>
  </si>
  <si>
    <t>¿Coincide con Nº residentes totales (Parametros_Generales)?</t>
  </si>
  <si>
    <t>Comentarios sobre esta hoja:</t>
  </si>
  <si>
    <t>As-Is</t>
  </si>
  <si>
    <t>To-Be</t>
  </si>
  <si>
    <t>Modo de detección</t>
  </si>
  <si>
    <t>ronda_manual_o_boton</t>
  </si>
  <si>
    <t>sensor_ambiental_auto</t>
  </si>
  <si>
    <t>Probabilidad de caída no presenciada</t>
  </si>
  <si>
    <t>Fracción de caídas en las que nadie ve al residente caer en el momento (habitualmente porque ocurre en la habitación, en soledad). Solo se usa si el modo es 'ronda_manual_o_boton'.</t>
  </si>
  <si>
    <t>Literatura (Estudio español FALL-ER (Fundación MAPFRE, n=1.610): "3 de cada 4 caídas ocurren sin testigos")</t>
  </si>
  <si>
    <t>Cada cuántos minutos se pasa por cada habitación en turno de día si no hay alerta automática. Solo aplica al escenario que use 'ronda_manual_o_boton'.</t>
  </si>
  <si>
    <t>Igual que el anterior, en turno de noche (normalmente más largo, con menos personal).</t>
  </si>
  <si>
    <t>Tiempo mínimo estimado desde que se pulsa el botón hasta que el aviso llega a algún dispositivo del personal.</t>
  </si>
  <si>
    <t>Hipótesis basada en la encuesta sectorial del TFG (Q43/Q61).</t>
  </si>
  <si>
    <t>Tiempo máximo estimado para el mismo proceso.</t>
  </si>
  <si>
    <t>Latencia de procesamiento y aviso del sistema (no la detección física del sensor, que suele ser &lt;1 s, sino el tiempo hasta que la alerta llega al terminal del personal).</t>
  </si>
  <si>
    <t>Igual que el anterior, tiempo máximo. Revisa la ficha técnica de tu proveedor de sensores.</t>
  </si>
  <si>
    <t>De las caidas NO presenciadas en el momento, fraccion que aun asi se detecta pronto porque alguien oye un golpe o un grito de ayuda (sin haber visto la caida). Turno DIA.</t>
  </si>
  <si>
    <t>Igual que el anterior, turno NOCHE (mas silencio ambiental, auxiliar de planta mas cerca).</t>
  </si>
  <si>
    <t>Tiempo minimo entre que se oye el ruido/grito y se comprueba que ha ocurrido una caida.</t>
  </si>
  <si>
    <t>Hipótesis, análoga al rango de reacción usado en «Detección con botón fijo».</t>
  </si>
  <si>
    <t>Igual que el anterior, tiempo máximo (personal tarda en reaccionar/llegar a comprobar).</t>
  </si>
  <si>
    <t>Probabilidad de fallo del sensor (falso negativo)</t>
  </si>
  <si>
    <t>Fraccion de caidas que el radar mmWave NO detecta (falso negativo). Al fallar, la deteccion recae en el mismo mecanismo humano que en As-Is (oido o ronda), ya que el entorno acustico del edificio no cambia por instalar el sensor.</t>
  </si>
  <si>
    <t>Los 3 escenarios operativos que se simulan por separado, además del análisis anual completo.</t>
  </si>
  <si>
    <t>Escenario</t>
  </si>
  <si>
    <t>Descripción</t>
  </si>
  <si>
    <t>Ventana horaria</t>
  </si>
  <si>
    <t>Duración del escenario</t>
  </si>
  <si>
    <t>Personal disponible</t>
  </si>
  <si>
    <t>Funcionamiento normal en turno de día, carga habitual de caídas.</t>
  </si>
  <si>
    <t>08:00–20:00</t>
  </si>
  <si>
    <t>Todo el año (se filtran los incidentes de la simulación anual que caen en esta franja)</t>
  </si>
  <si>
    <t>Personal turno DÍA (hoja Zonas_Layout)</t>
  </si>
  <si>
    <t>Funcionamiento normal en turno de noche, con menos personal disponible.</t>
  </si>
  <si>
    <t>20:00–08:00</t>
  </si>
  <si>
    <t>Personal turno NOCHE (hoja Zonas_Layout)</t>
  </si>
  <si>
    <t>Ventana de 4 horas (simulación independiente, no forma parte de la tasa media anual)</t>
  </si>
  <si>
    <t>Nº</t>
  </si>
  <si>
    <t>El personal, cuando está libre, se considera situado en su 'zona base' asignada (columna 'Personal turno... (home)' de Zonas_Layout); el modelo no rastrea su posición exacta en cada instante.</t>
  </si>
  <si>
    <t>Cuando el personal termina de atender una incidencia, se asume que vuelve a su zona base antes de quedar disponible para la siguiente llamada (no encadena incidencias desde la ubicación anterior).</t>
  </si>
  <si>
    <t>La distancia entre dos zonas distintas se aproxima como la suma de las distancias de cada zona al punto de control central (topología en estrella): dist(A,B) = dist(A,control) + dist(control,B). Es razonable en centros donde los pasillos convergen en un control central.</t>
  </si>
  <si>
    <t>El tiempo de desplazamiento = distancia / velocidad de marcha, con una variabilidad aleatoria (parámetro configurable) para representar obstáculos, tráfico de pasillo, ascensores ocupados, etc.</t>
  </si>
  <si>
    <t>Cada caída se asigna aleatoriamente a una zona con probabilidad proporcional al nº de residentes de esa zona (una zona con más residentes tiene proporcionalmente más caídas).</t>
  </si>
  <si>
    <t>En el modo de detección 'sensor_ambiental_auto', la detección no depende de la capacidad física ni cognitiva del residente (siempre detecta). En el modo 'dispositivo_manual', la detección inmediata solo ocurre si el residente puede activarlo; si no, se recurre a la ronda manual como respaldo.</t>
  </si>
  <si>
    <t>Ante una caída, siempre responde el miembro del personal libre más cercano a la zona del incidente; si todos están ocupados, se espera a que quede libre el primero de ellos (cola FIFO por disponibilidad, no por proximidad, cuando todos están ocupados).</t>
  </si>
  <si>
    <t>El modelo no diferencia la gravedad clínica de la caída: todas siguen la misma lógica de detección → desplazamiento → atención, y la probabilidad de traslado hospitalario es un valor medio fijo (no varía según la gravedad simulada del caso).</t>
  </si>
  <si>
    <t>El personal es intercambiable dentro de un turno: cualquier auxiliar o enfermera libre puede atender cualquier incidencia; el modelo no distingue roles ni asigna prioridad por perfil profesional.</t>
  </si>
  <si>
    <t>El Escenario 3 (pico nocturno) se simula de forma independiente del resto del año, como una prueba de estrés puntual sobre el sistema, no como parte de la tasa de incidencia media anual usada en los Escenarios 1 y 2.</t>
  </si>
  <si>
    <t>La vía de detección acústica incidental (oído): qué modela, por qué es distinta día/noche, que es un supuesto no medido, y la pregunta concreta que habría que hacer al personal para sustituirla por un dato real.</t>
  </si>
  <si>
    <t>El sensor del To-Be no se asume fiable al 100%, y si falla recae en la misma vía humana que en As-Is.</t>
  </si>
  <si>
    <t>El intervalo de ronda no es un valor de literatura, sino un dato operativo propio de OnaCare, con aviso explícito de que si alguien reutiliza la plantilla para otro centro debe cambiarlo.</t>
  </si>
  <si>
    <t>Si el centro no ha rellenado las columnas de distancia intra-zona, se calcula un valor por defecto justificado geométricamente: se modela la zona como un tramo lineal (pasillo) de longitud igual a su "distancia a control", con las habitaciones repartidas a lo largo de él. La distancia media entre dos puntos elegidos al azar sobre un segmento de longitud L es un resultado estándar de probabilidad geométrica igual a L/3 , de ahí el "/3". Es la mejor aproximación razonable sin necesidad de medir nada nuevo, y el centro puede sobrescribirla si tiene un dato mejor.</t>
  </si>
  <si>
    <t>Por defecto se calcula automáticamente como (distancia a control)/3: se modela la zona como un tramo lineal (pasillo) de longitud igual a la distancia a control, con las habitaciones repartidas a lo largo de él; la distancia media entre dos puntos elegidos al azar sobre un segmento de longitud L es un resultado geométrico estándar igual a L/3. Es una aproximación razonada, si el centro dispone de un dato más preciso medido, puede sobrescribir el valor en las columnas G y H (Distancia intra-zona).</t>
  </si>
  <si>
    <t>Ningún sensor tiene una precisión del 100%: una fracción de las caídas es un falso negativo del sensor (p_fallo_sensor). En ese caso residual, la detección recae en el mismo mecanismo humano que en As-Is (oír al residente, o la ronda), ya que el entorno acústico del edificio no cambia por instalar el sensor. Con una precisión &gt;95% (ver apdo. 5 de la memoria, radar mmWave IWR6843, Sun et al., 2020) esta vía apenas pesa en el resultado agregado, pero se mantiene por coherencia con el modelo As-Is y para no asumir una fiabilidad del 100% que ningún fabricante garantiza.</t>
  </si>
  <si>
    <t>Cómo se detecta una caída en cada escenario. Esto determina cuánto tiempo pasa desde que ocurre la caída hasta que alguien se entera, antes de que el personal empiece a desplazarse.</t>
  </si>
  <si>
    <t>Propiedades del sensor utilizado en el modelo To-Be</t>
  </si>
  <si>
    <t>Detección acústica (oída) - máximo (min)</t>
  </si>
  <si>
    <t>Detección acústica (oída) - mínimo (min)</t>
  </si>
  <si>
    <t>Probabilidad de detección acústica (oída) - turno día</t>
  </si>
  <si>
    <t>Probabilidad de detección acústica (oída) - turno noche</t>
  </si>
  <si>
    <t>Intervalo de ronda - turno noche (min)</t>
  </si>
  <si>
    <t>Detección con botón fijo - mínimo (min)</t>
  </si>
  <si>
    <t>Detección con botón fijo - máximo (min)</t>
  </si>
  <si>
    <t>Detección sensor ambiental - mínimo (seg)</t>
  </si>
  <si>
    <t>Intervalo de ronda - turno día (min)</t>
  </si>
  <si>
    <t>Probabilidad de traslado hospitalario - As-Is</t>
  </si>
  <si>
    <t>Probabilidad de traslado hospitalario - To-Be</t>
  </si>
  <si>
    <t>Plantilla de datos - Simulación de eventos discretos (DES) de respuesta ante caídas</t>
  </si>
  <si>
    <t>Escenario 1 - Día tipo</t>
  </si>
  <si>
    <t>Escenario 2 - Noche tipo</t>
  </si>
  <si>
    <t>Escenario 3 - Pico de incidencias nocturnas</t>
  </si>
  <si>
    <t>Hipótesis del modelo - léelas antes de confiar en los resultados</t>
  </si>
  <si>
    <t>La reducción de personal a caídas evitables por hospitalización (probabilidad de traslado) es una hipótesis clínica razonada (menos tiempo en el suelo → menos complicaciones), no una medición directa - trátala con prudencia en las conclusiones.</t>
  </si>
  <si>
    <t>Detección sensor ambiental - máximo (seg)</t>
  </si>
  <si>
    <t>Valores posibles:
· 'ronda_manual_o_boton' - el personal detecta la caída en rondas periódicas, o si el residente puede pulsar un botón fijo en la pared/habitación (no lo lleva encima).
· 'sensor_ambiental_auto' - un sensor instalado en el entorno (p. ej. radar de techo) detecta la caída automáticamente, sin ninguna acción del residente. Es el caso de un radar mmWave de techo.
· 'dispositivo_manual' - el residente lleva un dispositivo encima (pulsera SOS, colgante) y debe pulsarlo él mismo para generar la alerta; si no puede (inconsciente, deterioro cognitivo, no lo lleva puesto), no hay detección automática y se recurre a la ronda manual.</t>
  </si>
  <si>
    <t>2. Sustituye los valores en texto AZUL por los datos reales de tu centro. El texto negro son cabeceras/fórmulas, no los modifiques.</t>
  </si>
  <si>
    <t>5. Guarda el archivo y pásale la ruta al script Python (ver ejecutar.md).</t>
  </si>
  <si>
    <t>Deteccion: cómo se detecta una caída en cada escenario (ronda manual, botón, sensor automático, dispositivo llevado por el residente).</t>
  </si>
  <si>
    <t>Zonas_Layout: módulos/plantas del centro, nº de residentes y personal de cada uno, y las distancias que definen el layout físico.</t>
  </si>
  <si>
    <t>Parametros_Generales: datos globales del centro y de la simulación.</t>
  </si>
  <si>
    <t>Hipotesis: lista en lenguaje llano de todos los supuestos que usa el modelo. Léela antes de confiar en los resultados.</t>
  </si>
  <si>
    <t>Tiempo cronometrado recorriendo un pasillo de longitud conocida a paso rápido (sin correr).  Sino, usa el valor por defecto (~4,2 km/h, marcha rápida profesional).</t>
  </si>
  <si>
    <t>3. Las celdas editables  se complementan con un comentario explicando qué dato es y cómo recogerlo si no lo tienes a mano.</t>
  </si>
  <si>
    <t>Fracción del personal libre que, en un instante dado, está en realidad ocupado en una tarea asistencial no interrumpible con otro residente (aseo, alimentación, movilización con grúa, medicación) y no puede acudir de inmediato. Debe ir otro compañero disponible. SUPUESTO razonado (no medido): estimar con un estudio de muestreo de trabajo (observaciones puntuales aleatorias a lo largo de turnos, contabilizando en qué tarea está cada trabajador en ese instante) para sustituir por un dato real.</t>
  </si>
  <si>
    <t>SUPUESTO razonado. Según la memoria del TFG: estimación de campo de 18-25 min/incidencia para el proceso completo aviso+desplazamiento+valoracion+parte+llamada medico, del cual se resta el resto de componentes ya cuantificados en KPI-2/KPI-3 para aislar la valoracion in situ; (2) encuesta sectorial Q34/Q61 (tiempo detección emergencia -&gt; salida del paciente del centro), donde la moda de las respuestas reales es "entre 10 y 30 minutos", orden de magnitud consistente.</t>
  </si>
  <si>
    <t>SUPUESTO - ajustar con un estudio de muestreo de trabajo</t>
  </si>
  <si>
    <t>Se definen los módulos/plantas/alas del centro. El modelo usa esto para calcular cuánto tarda el personal en llegar a una caída según dónde ocurre y dónde está el personal en ese momento.</t>
  </si>
  <si>
    <t>La columna To-Be debe reflejar el layout rediseñado (unidades de convivencia más pequeñas, sub-almacenes descentralizados, personal más repartido) - normalmente son distancias menores.</t>
  </si>
  <si>
    <t>Distancia a control' = distancia media caminando desde el puesto de control/enfermería hasta el centro de esa zona (medida sobre plano, con podómetro, o de de los planos del edificio).</t>
  </si>
  <si>
    <t>Personal turno DÍA/NOCHE es el nº de auxiliares/enfermeras cuya base está en esa zona durante ese turno cuando no están atendiendo ninguna incidencia. La suma debe coincidir con el personal total de día/noche que definas para la simulación.</t>
  </si>
  <si>
    <t>Puedes añadir o quitar filas de zonas; el script lee todas las filas entre la cabecera y la fila total, así que inserta filas nuevas por encima de la fila total.</t>
  </si>
  <si>
    <t>Distancia intra-zona' = distancia media que recorre el personal dentro de la misma zona donde ya se encuentra (p. ej., de una habitación a otra del mismo módulo), a diferencia de 'Distancia a control', que es hasta el punto de control/enfermería.</t>
  </si>
  <si>
    <t>Dato del centro editable- política interna de frecuencia de rondas.</t>
  </si>
  <si>
    <t>Probabilidad de poder activar dispositivo manual</t>
  </si>
  <si>
    <t>SUPUESTO razonado (no medido): se estima mayor probabilidad de deteccion acustica incidental de noche (silencio ambiental, 1 auxiliar de planta mas cerca) que de dia (ruido de fondo: TV, comidas, conversaciones; personal disperso en tareas simultaneas).</t>
  </si>
  <si>
    <t>Literatura: precision del radar mmWave IWR6843 &gt;95% (Sun et al., 2020) -&gt; se asume el 5% restante como falso negativo.</t>
  </si>
  <si>
    <t>Nº incidencias objetivo
(solo Escenario de estrés)</t>
  </si>
  <si>
    <t>Escenario de estrés-Brote gastrointestinal o episodio de agitación grupal: varias incidencias concentradas en pocas horas, con el personal de noche ya reducido.</t>
  </si>
  <si>
    <t>Solo aplica si el modo To-Be es 'dispositivo_manual'. Probabilidad de que, en el momento de caer, el residente esté consciente, lleve el dispositivo puesto y pueda pulsarlo. Valor por defecto (0,20) válido para cualquier centro (ver fuente). Si tu centro conoce su propio reparto de residentes por perfil de dependencia (colaborador / no colaborador / con alteración conductual, o una escala equivalente como Barthel o GDS), sustitúyelo por el % de residentes con perfil colaborador de tu propia población: es el perfil que conserva la capacidad cognitiva y física suficiente para activar conscientemente el dispositivo tras una caída. Si tu centro no usa este modo de detección, déjalo en blanco.</t>
  </si>
  <si>
    <t>Supuesto razonado (extrapolación, no medición directa): se toma la prevalencia del perfil de residente «colaborador» (20%) del «Estudio sobre el personal mínimo necesario en las residencias de mayores de la Comunidad de Madrid» (CCOO Madrid, UGT Madrid, PLADIGMARE y SEGG, 2024; n&gt;700 cuestionarios/entrevistas al personal del sector), ya utilizado en este trabajo para el KPI-2. El estudio no mide la capacidad de activar un dispositivo de alarma; la equivalencia colaborador≈capaz de activarlo es una aproximación razonada, declarada como tal, sustituible por el dato propio de cada centro.</t>
  </si>
  <si>
    <t>Escenarios: define las ventanas horarias y condiciones de los 3 escenarios simulados (día tipo, noche tipo, pico de incidencias).</t>
  </si>
  <si>
    <t>4. Las celdas que son supuestos del modelo (no datos medidos), revísalas con más atención, pueden cambiar el resultado si están mal calibradas.</t>
  </si>
  <si>
    <r>
      <t>Este Excel reúne todos los datos de entrada que necesita el script '</t>
    </r>
    <r>
      <rPr>
        <sz val="11"/>
        <color rgb="FFFF0000"/>
        <rFont val="Arial"/>
        <family val="2"/>
      </rPr>
      <t>simulacion_onacare_v5_fix.py</t>
    </r>
    <r>
      <rPr>
        <sz val="11"/>
        <color rgb="FF000000"/>
        <rFont val="Arial"/>
        <charset val="1"/>
      </rPr>
      <t>' para simular la respuesta ante caídas de cualquier centro geriátrico. Viene pre-rellenado con los datos (reales y estimados, indicados en cada caso) del centro OnaCare de Barberá del Vallés, a modo de ejemplo funcional.</t>
    </r>
  </si>
  <si>
    <t>Dentro de las caídas "no presenciadas" (nadie la ve en el momento), una parte se detecta igualmente pronto porque alguien oye un golpe o un grito de ayuda sin haber visto la caída en sí. Esta probabilidad depende del turno: de noche hay más silencio ambiental y el auxiliar de planta está más cerca; de día hay más ruido de fondo (televisión, comidas, conversaciones) y el personal está más disperso en tareas simultáneas. (Supuesto razonado, ver hoja "Deteccion")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</si>
</sst>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2"/>
      <color rgb="FFFFFFFF"/>
      <name val="Arial"/>
      <charset val="1"/>
    </font>
    <font>
      <sz val="11"/>
      <name val="Arial"/>
      <charset val="1"/>
    </font>
    <font>
      <b/>
      <sz val="11"/>
      <color rgb="FF000000"/>
      <name val="Arial"/>
      <charset val="1"/>
    </font>
    <font>
      <sz val="11"/>
      <color rgb="FF000000"/>
      <name val="Arial"/>
      <charset val="1"/>
    </font>
    <font>
      <sz val="11"/>
      <color rgb="FF0000FF"/>
      <name val="Arial"/>
      <charset val="1"/>
    </font>
    <font>
      <i/>
      <sz val="9"/>
      <name val="Arial"/>
      <family val="2"/>
      <charset val="1"/>
    </font>
    <font>
      <sz val="10"/>
      <name val="Arial"/>
      <family val="2"/>
    </font>
    <font>
      <sz val="8"/>
      <color rgb="FFBBBEBF"/>
      <name val="Consolas"/>
      <family val="3"/>
    </font>
    <font>
      <sz val="11"/>
      <color rgb="FF000000"/>
      <name val="Arial"/>
      <family val="2"/>
    </font>
    <font>
      <sz val="11"/>
      <color rgb="FF0000FF"/>
      <name val="Arial"/>
      <family val="2"/>
    </font>
    <font>
      <sz val="11"/>
      <color theme="1"/>
      <name val="Arial"/>
      <family val="2"/>
    </font>
    <font>
      <sz val="11"/>
      <name val="Arial"/>
      <family val="2"/>
    </font>
    <font>
      <i/>
      <sz val="9"/>
      <name val="Arial"/>
      <family val="2"/>
    </font>
    <font>
      <sz val="11"/>
      <name val="Calibri"/>
      <family val="2"/>
      <charset val="1"/>
    </font>
    <font>
      <sz val="9"/>
      <color indexed="81"/>
      <name val="Tahoma"/>
      <family val="2"/>
    </font>
    <font>
      <b/>
      <sz val="9"/>
      <color indexed="81"/>
      <name val="Tahoma"/>
      <family val="2"/>
    </font>
    <font>
      <b/>
      <sz val="12"/>
      <color rgb="FFFFFFFF"/>
      <name val="Arial"/>
      <family val="2"/>
    </font>
    <font>
      <sz val="11"/>
      <color rgb="FFFF0000"/>
      <name val="Arial"/>
      <family val="2"/>
    </font>
  </fonts>
  <fills count="4">
    <fill>
      <patternFill patternType="none"/>
    </fill>
    <fill>
      <patternFill patternType="gray125"/>
    </fill>
    <fill>
      <patternFill patternType="solid">
        <fgColor rgb="FF1F4E78"/>
        <bgColor rgb="FF003366"/>
      </patternFill>
    </fill>
    <fill>
      <patternFill patternType="solid">
        <fgColor rgb="FFD9E1F2"/>
        <bgColor rgb="FFDBEEF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vertical="center" wrapText="1"/>
    </xf>
    <xf numFmtId="0" fontId="4" fillId="0" borderId="0" xfId="0" applyFont="1"/>
    <xf numFmtId="0" fontId="5" fillId="0" borderId="1" xfId="0" applyFont="1" applyBorder="1"/>
    <xf numFmtId="0" fontId="6" fillId="0" borderId="0" xfId="0" applyFont="1"/>
    <xf numFmtId="0" fontId="6" fillId="0" borderId="0" xfId="0" applyFont="1" applyAlignment="1">
      <alignment vertical="top" wrapText="1"/>
    </xf>
    <xf numFmtId="0" fontId="6" fillId="0" borderId="0" xfId="0" applyFont="1" applyAlignment="1">
      <alignment wrapText="1"/>
    </xf>
    <xf numFmtId="0" fontId="2" fillId="0" borderId="0" xfId="0" applyFont="1"/>
    <xf numFmtId="0" fontId="5" fillId="0" borderId="0" xfId="0" applyFont="1"/>
    <xf numFmtId="0" fontId="3" fillId="0" borderId="0" xfId="0" applyFont="1"/>
    <xf numFmtId="0" fontId="3" fillId="3" borderId="1" xfId="0" applyFont="1" applyFill="1" applyBorder="1"/>
    <xf numFmtId="0" fontId="0" fillId="3" borderId="0" xfId="0" applyFill="1"/>
    <xf numFmtId="0" fontId="4" fillId="0" borderId="1" xfId="0" applyFont="1" applyBorder="1" applyAlignment="1">
      <alignment vertical="top" wrapText="1"/>
    </xf>
    <xf numFmtId="0" fontId="5" fillId="0" borderId="1" xfId="0" applyFont="1" applyBorder="1" applyAlignment="1">
      <alignment vertical="top" wrapText="1"/>
    </xf>
    <xf numFmtId="0" fontId="1" fillId="2" borderId="0" xfId="0" applyFont="1" applyFill="1"/>
    <xf numFmtId="0" fontId="8" fillId="0" borderId="0" xfId="0" applyFont="1" applyAlignment="1">
      <alignment vertical="center"/>
    </xf>
    <xf numFmtId="0" fontId="9" fillId="0" borderId="0" xfId="0" applyFont="1" applyAlignment="1">
      <alignment vertical="top" wrapText="1"/>
    </xf>
    <xf numFmtId="0" fontId="9" fillId="0" borderId="1" xfId="0" applyFont="1" applyBorder="1" applyAlignment="1">
      <alignment vertical="top" wrapText="1"/>
    </xf>
    <xf numFmtId="0" fontId="10" fillId="0" borderId="1" xfId="0" applyFont="1" applyFill="1" applyBorder="1"/>
    <xf numFmtId="0" fontId="11" fillId="0" borderId="0" xfId="0" applyFont="1" applyFill="1"/>
    <xf numFmtId="0" fontId="11" fillId="0" borderId="0" xfId="0" applyFont="1"/>
    <xf numFmtId="0" fontId="12" fillId="0" borderId="1" xfId="0" applyFont="1" applyFill="1" applyBorder="1"/>
    <xf numFmtId="0" fontId="6" fillId="0" borderId="0" xfId="0" applyFont="1" applyBorder="1" applyAlignment="1">
      <alignment vertical="top" wrapText="1"/>
    </xf>
    <xf numFmtId="0" fontId="6" fillId="0" borderId="0" xfId="0" applyFont="1" applyBorder="1"/>
    <xf numFmtId="0" fontId="5" fillId="0" borderId="1" xfId="0" applyFont="1" applyFill="1" applyBorder="1"/>
    <xf numFmtId="0" fontId="6" fillId="0" borderId="0" xfId="0" quotePrefix="1" applyFont="1" applyBorder="1" applyAlignment="1">
      <alignment vertical="top" wrapText="1"/>
    </xf>
    <xf numFmtId="0" fontId="13" fillId="0" borderId="0" xfId="0" applyFont="1" applyAlignment="1">
      <alignment vertical="top" wrapText="1"/>
    </xf>
    <xf numFmtId="0" fontId="14" fillId="0" borderId="0" xfId="0" applyFont="1"/>
    <xf numFmtId="0" fontId="17" fillId="2" borderId="1" xfId="0" applyFont="1" applyFill="1" applyBorder="1" applyAlignment="1">
      <alignment vertical="center" wrapText="1"/>
    </xf>
    <xf numFmtId="0" fontId="18" fillId="0"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BEEF4"/>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opLeftCell="A3" zoomScaleNormal="100" workbookViewId="0">
      <selection activeCell="A12" sqref="A12"/>
    </sheetView>
  </sheetViews>
  <sheetFormatPr baseColWidth="10" defaultColWidth="8.6640625" defaultRowHeight="14.4" x14ac:dyDescent="0.3"/>
  <cols>
    <col min="1" max="1" width="100" customWidth="1"/>
  </cols>
  <sheetData>
    <row r="1" spans="1:1" ht="25.5" customHeight="1" x14ac:dyDescent="0.3">
      <c r="A1" s="1" t="s">
        <v>127</v>
      </c>
    </row>
    <row r="2" spans="1:1" x14ac:dyDescent="0.3">
      <c r="A2" s="2"/>
    </row>
    <row r="3" spans="1:1" x14ac:dyDescent="0.3">
      <c r="A3" s="3" t="s">
        <v>0</v>
      </c>
    </row>
    <row r="4" spans="1:1" ht="41.25" customHeight="1" x14ac:dyDescent="0.3">
      <c r="A4" s="20" t="s">
        <v>162</v>
      </c>
    </row>
    <row r="5" spans="1:1" x14ac:dyDescent="0.3">
      <c r="A5" s="2"/>
    </row>
    <row r="6" spans="1:1" x14ac:dyDescent="0.3">
      <c r="A6" s="3" t="s">
        <v>1</v>
      </c>
    </row>
    <row r="7" spans="1:1" x14ac:dyDescent="0.3">
      <c r="A7" s="4" t="s">
        <v>2</v>
      </c>
    </row>
    <row r="8" spans="1:1" ht="27" customHeight="1" x14ac:dyDescent="0.3">
      <c r="A8" s="33" t="s">
        <v>135</v>
      </c>
    </row>
    <row r="9" spans="1:1" ht="27" customHeight="1" x14ac:dyDescent="0.3">
      <c r="A9" s="4" t="s">
        <v>142</v>
      </c>
    </row>
    <row r="10" spans="1:1" ht="27" customHeight="1" x14ac:dyDescent="0.3">
      <c r="A10" s="20" t="s">
        <v>161</v>
      </c>
    </row>
    <row r="11" spans="1:1" x14ac:dyDescent="0.3">
      <c r="A11" s="4" t="s">
        <v>136</v>
      </c>
    </row>
    <row r="12" spans="1:1" x14ac:dyDescent="0.3">
      <c r="A12" s="2"/>
    </row>
    <row r="13" spans="1:1" x14ac:dyDescent="0.3">
      <c r="A13" s="3" t="s">
        <v>3</v>
      </c>
    </row>
    <row r="14" spans="1:1" x14ac:dyDescent="0.3">
      <c r="A14" s="4" t="s">
        <v>139</v>
      </c>
    </row>
    <row r="15" spans="1:1" ht="27" customHeight="1" x14ac:dyDescent="0.3">
      <c r="A15" s="4" t="s">
        <v>138</v>
      </c>
    </row>
    <row r="16" spans="1:1" ht="27" customHeight="1" x14ac:dyDescent="0.3">
      <c r="A16" s="4" t="s">
        <v>137</v>
      </c>
    </row>
    <row r="17" spans="1:1" ht="27" customHeight="1" x14ac:dyDescent="0.3">
      <c r="A17" s="20" t="s">
        <v>160</v>
      </c>
    </row>
    <row r="18" spans="1:1" ht="27" customHeight="1" x14ac:dyDescent="0.3">
      <c r="A18" s="4" t="s">
        <v>140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Normal="100" workbookViewId="0">
      <pane xSplit="1" ySplit="1" topLeftCell="B2" activePane="bottomRight" state="frozen"/>
      <selection pane="topRight" activeCell="B1" sqref="B1"/>
      <selection pane="bottomLeft" activeCell="A2" sqref="A2"/>
      <selection pane="bottomRight" activeCell="E13" sqref="E13"/>
    </sheetView>
  </sheetViews>
  <sheetFormatPr baseColWidth="10" defaultColWidth="8.6640625" defaultRowHeight="14.4" x14ac:dyDescent="0.3"/>
  <cols>
    <col min="1" max="1" width="42" customWidth="1"/>
    <col min="2" max="2" width="12" customWidth="1"/>
    <col min="3" max="3" width="14" customWidth="1"/>
    <col min="4" max="4" width="70" customWidth="1"/>
    <col min="5" max="5" width="61.5546875" customWidth="1"/>
  </cols>
  <sheetData>
    <row r="1" spans="1:5" ht="15" customHeight="1" x14ac:dyDescent="0.3">
      <c r="A1" s="5" t="s">
        <v>4</v>
      </c>
      <c r="B1" s="5" t="s">
        <v>5</v>
      </c>
      <c r="C1" s="5" t="s">
        <v>6</v>
      </c>
      <c r="D1" s="5" t="s">
        <v>7</v>
      </c>
      <c r="E1" s="5" t="s">
        <v>8</v>
      </c>
    </row>
    <row r="2" spans="1:5" x14ac:dyDescent="0.3">
      <c r="A2" s="6" t="s">
        <v>9</v>
      </c>
      <c r="B2" s="7" t="s">
        <v>10</v>
      </c>
      <c r="C2" s="8" t="s">
        <v>40</v>
      </c>
      <c r="D2" s="9" t="s">
        <v>11</v>
      </c>
      <c r="E2" s="8" t="s">
        <v>12</v>
      </c>
    </row>
    <row r="3" spans="1:5" x14ac:dyDescent="0.3">
      <c r="A3" s="6" t="s">
        <v>13</v>
      </c>
      <c r="B3" s="28">
        <v>103</v>
      </c>
      <c r="C3" s="8" t="s">
        <v>14</v>
      </c>
      <c r="D3" s="9" t="s">
        <v>15</v>
      </c>
      <c r="E3" s="8" t="s">
        <v>12</v>
      </c>
    </row>
    <row r="4" spans="1:5" ht="22.5" customHeight="1" x14ac:dyDescent="0.3">
      <c r="A4" s="6" t="s">
        <v>16</v>
      </c>
      <c r="B4" s="7">
        <v>1.5</v>
      </c>
      <c r="C4" s="8" t="s">
        <v>17</v>
      </c>
      <c r="D4" s="9" t="s">
        <v>18</v>
      </c>
      <c r="E4" s="8" t="s">
        <v>19</v>
      </c>
    </row>
    <row r="5" spans="1:5" ht="22.8" x14ac:dyDescent="0.3">
      <c r="A5" s="6" t="s">
        <v>20</v>
      </c>
      <c r="B5" s="7">
        <v>70</v>
      </c>
      <c r="C5" s="8" t="s">
        <v>21</v>
      </c>
      <c r="D5" s="9" t="s">
        <v>141</v>
      </c>
      <c r="E5" s="8" t="s">
        <v>22</v>
      </c>
    </row>
    <row r="6" spans="1:5" ht="33.75" customHeight="1" x14ac:dyDescent="0.3">
      <c r="A6" s="6" t="s">
        <v>23</v>
      </c>
      <c r="B6" s="7">
        <v>0.2</v>
      </c>
      <c r="C6" s="8" t="s">
        <v>24</v>
      </c>
      <c r="D6" s="9" t="s">
        <v>25</v>
      </c>
      <c r="E6" s="10" t="s">
        <v>26</v>
      </c>
    </row>
    <row r="7" spans="1:5" ht="22.5" customHeight="1" x14ac:dyDescent="0.3">
      <c r="A7" s="6" t="s">
        <v>27</v>
      </c>
      <c r="B7" s="7">
        <v>5</v>
      </c>
      <c r="C7" s="8" t="s">
        <v>28</v>
      </c>
      <c r="D7" s="9" t="s">
        <v>29</v>
      </c>
      <c r="E7" s="8" t="s">
        <v>144</v>
      </c>
    </row>
    <row r="8" spans="1:5" x14ac:dyDescent="0.3">
      <c r="A8" s="6" t="s">
        <v>30</v>
      </c>
      <c r="B8" s="7">
        <v>15</v>
      </c>
      <c r="C8" s="8" t="s">
        <v>28</v>
      </c>
      <c r="D8" s="9" t="s">
        <v>31</v>
      </c>
      <c r="E8" s="8" t="s">
        <v>144</v>
      </c>
    </row>
    <row r="9" spans="1:5" ht="22.5" customHeight="1" x14ac:dyDescent="0.3">
      <c r="A9" s="6" t="s">
        <v>125</v>
      </c>
      <c r="B9" s="7">
        <v>0.28999999999999998</v>
      </c>
      <c r="C9" s="8" t="s">
        <v>32</v>
      </c>
      <c r="D9" s="9" t="s">
        <v>33</v>
      </c>
      <c r="E9" s="8" t="s">
        <v>34</v>
      </c>
    </row>
    <row r="10" spans="1:5" ht="35.25" customHeight="1" x14ac:dyDescent="0.3">
      <c r="A10" s="6" t="s">
        <v>126</v>
      </c>
      <c r="B10" s="7">
        <v>0.2</v>
      </c>
      <c r="C10" s="8" t="s">
        <v>32</v>
      </c>
      <c r="D10" s="9" t="s">
        <v>35</v>
      </c>
      <c r="E10" s="10" t="s">
        <v>36</v>
      </c>
    </row>
    <row r="11" spans="1:5" x14ac:dyDescent="0.3">
      <c r="A11" s="6" t="s">
        <v>37</v>
      </c>
      <c r="B11" s="7">
        <v>365</v>
      </c>
      <c r="C11" s="8" t="s">
        <v>38</v>
      </c>
      <c r="D11" s="9" t="s">
        <v>39</v>
      </c>
      <c r="E11" s="8" t="s">
        <v>40</v>
      </c>
    </row>
    <row r="12" spans="1:5" ht="22.5" customHeight="1" x14ac:dyDescent="0.3">
      <c r="A12" s="6" t="s">
        <v>41</v>
      </c>
      <c r="B12" s="7">
        <v>300</v>
      </c>
      <c r="C12" s="8" t="s">
        <v>42</v>
      </c>
      <c r="D12" s="9" t="s">
        <v>43</v>
      </c>
      <c r="E12" s="8" t="s">
        <v>40</v>
      </c>
    </row>
    <row r="13" spans="1:5" ht="22.5" customHeight="1" x14ac:dyDescent="0.3">
      <c r="A13" s="6" t="s">
        <v>44</v>
      </c>
      <c r="B13" s="7">
        <v>12345</v>
      </c>
      <c r="C13" s="8" t="s">
        <v>40</v>
      </c>
      <c r="D13" s="9" t="s">
        <v>45</v>
      </c>
      <c r="E13" s="8" t="s">
        <v>40</v>
      </c>
    </row>
    <row r="14" spans="1:5" ht="68.25" customHeight="1" x14ac:dyDescent="0.3">
      <c r="A14" s="11" t="s">
        <v>46</v>
      </c>
      <c r="B14" s="28">
        <v>0.2</v>
      </c>
      <c r="C14" s="8" t="s">
        <v>32</v>
      </c>
      <c r="D14" s="9" t="s">
        <v>143</v>
      </c>
      <c r="E14" s="8" t="s">
        <v>145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zoomScaleNormal="100" workbookViewId="0">
      <pane xSplit="1" ySplit="2" topLeftCell="B3" activePane="bottomRight" state="frozen"/>
      <selection pane="topRight" activeCell="D1" sqref="D1"/>
      <selection pane="bottomLeft" activeCell="A3" sqref="A3"/>
      <selection pane="bottomRight" activeCell="A12" sqref="A12:F12"/>
    </sheetView>
  </sheetViews>
  <sheetFormatPr baseColWidth="10" defaultColWidth="8.6640625" defaultRowHeight="14.4" x14ac:dyDescent="0.3"/>
  <cols>
    <col min="1" max="1" width="56.33203125" customWidth="1"/>
    <col min="2" max="2" width="14" customWidth="1"/>
    <col min="3" max="4" width="18" customWidth="1"/>
    <col min="5" max="8" width="16" customWidth="1"/>
  </cols>
  <sheetData>
    <row r="1" spans="1:8" ht="30" customHeight="1" x14ac:dyDescent="0.3">
      <c r="A1" s="26" t="s">
        <v>146</v>
      </c>
      <c r="B1" s="26"/>
      <c r="C1" s="26"/>
      <c r="D1" s="26"/>
      <c r="E1" s="26"/>
      <c r="F1" s="26"/>
      <c r="G1" s="26"/>
      <c r="H1" s="26"/>
    </row>
    <row r="2" spans="1:8" ht="62.25" customHeight="1" x14ac:dyDescent="0.3">
      <c r="A2" s="5" t="s">
        <v>47</v>
      </c>
      <c r="B2" s="5" t="s">
        <v>48</v>
      </c>
      <c r="C2" s="5" t="s">
        <v>49</v>
      </c>
      <c r="D2" s="5" t="s">
        <v>50</v>
      </c>
      <c r="E2" s="5" t="s">
        <v>51</v>
      </c>
      <c r="F2" s="5" t="s">
        <v>52</v>
      </c>
      <c r="G2" s="5" t="s">
        <v>53</v>
      </c>
      <c r="H2" s="5" t="s">
        <v>54</v>
      </c>
    </row>
    <row r="3" spans="1:8" x14ac:dyDescent="0.3">
      <c r="A3" s="12" t="s">
        <v>55</v>
      </c>
      <c r="B3" s="7">
        <v>34</v>
      </c>
      <c r="C3" s="7">
        <v>31.7</v>
      </c>
      <c r="D3" s="7">
        <v>15.4</v>
      </c>
      <c r="E3" s="7">
        <v>4</v>
      </c>
      <c r="F3" s="7">
        <v>1</v>
      </c>
      <c r="G3" s="7">
        <f t="shared" ref="G3:H5" si="0">ROUND(C3/3,1)</f>
        <v>10.6</v>
      </c>
      <c r="H3" s="7">
        <f t="shared" si="0"/>
        <v>5.0999999999999996</v>
      </c>
    </row>
    <row r="4" spans="1:8" x14ac:dyDescent="0.3">
      <c r="A4" s="12" t="s">
        <v>56</v>
      </c>
      <c r="B4" s="7">
        <v>34</v>
      </c>
      <c r="C4" s="7">
        <v>31.7</v>
      </c>
      <c r="D4" s="7">
        <v>15.4</v>
      </c>
      <c r="E4" s="7">
        <v>4</v>
      </c>
      <c r="F4" s="7">
        <v>1</v>
      </c>
      <c r="G4" s="7">
        <f t="shared" si="0"/>
        <v>10.6</v>
      </c>
      <c r="H4" s="7">
        <f t="shared" si="0"/>
        <v>5.0999999999999996</v>
      </c>
    </row>
    <row r="5" spans="1:8" x14ac:dyDescent="0.3">
      <c r="A5" s="12" t="s">
        <v>57</v>
      </c>
      <c r="B5" s="7">
        <v>35</v>
      </c>
      <c r="C5" s="7">
        <v>31.7</v>
      </c>
      <c r="D5" s="7">
        <v>15</v>
      </c>
      <c r="E5" s="7">
        <v>4</v>
      </c>
      <c r="F5" s="7">
        <v>1</v>
      </c>
      <c r="G5" s="7">
        <f t="shared" si="0"/>
        <v>10.6</v>
      </c>
      <c r="H5" s="7">
        <f t="shared" si="0"/>
        <v>5</v>
      </c>
    </row>
    <row r="6" spans="1:8" x14ac:dyDescent="0.3">
      <c r="A6" s="13" t="s">
        <v>58</v>
      </c>
      <c r="B6" s="14">
        <f>SUM(B3:B5)</f>
        <v>103</v>
      </c>
      <c r="C6" s="15"/>
      <c r="D6" s="15"/>
      <c r="E6" s="14">
        <f>SUM(E3:E5)</f>
        <v>12</v>
      </c>
      <c r="F6" s="14">
        <f>SUM(F3:F5)</f>
        <v>3</v>
      </c>
    </row>
    <row r="7" spans="1:8" x14ac:dyDescent="0.3">
      <c r="A7" s="8" t="s">
        <v>59</v>
      </c>
      <c r="B7" s="13" t="str">
        <f>IF(B6=Parametros_Generales!B3,"OK","REVISA: no coincide")</f>
        <v>OK</v>
      </c>
    </row>
    <row r="9" spans="1:8" x14ac:dyDescent="0.3">
      <c r="A9" s="13" t="s">
        <v>60</v>
      </c>
    </row>
    <row r="10" spans="1:8" ht="21.75" customHeight="1" x14ac:dyDescent="0.3">
      <c r="A10" s="29" t="s">
        <v>148</v>
      </c>
      <c r="B10" s="26"/>
      <c r="C10" s="26"/>
      <c r="D10" s="26"/>
      <c r="E10" s="26"/>
      <c r="F10" s="26"/>
    </row>
    <row r="11" spans="1:8" ht="21.75" customHeight="1" x14ac:dyDescent="0.3">
      <c r="A11" s="26" t="s">
        <v>147</v>
      </c>
      <c r="B11" s="26"/>
      <c r="C11" s="26"/>
      <c r="D11" s="26"/>
      <c r="E11" s="26"/>
      <c r="F11" s="26"/>
    </row>
    <row r="12" spans="1:8" ht="21.75" customHeight="1" x14ac:dyDescent="0.3">
      <c r="A12" s="29" t="s">
        <v>149</v>
      </c>
      <c r="B12" s="26"/>
      <c r="C12" s="26"/>
      <c r="D12" s="26"/>
      <c r="E12" s="26"/>
      <c r="F12" s="26"/>
    </row>
    <row r="13" spans="1:8" ht="21.75" customHeight="1" x14ac:dyDescent="0.3">
      <c r="A13" s="26" t="s">
        <v>150</v>
      </c>
      <c r="B13" s="26"/>
      <c r="C13" s="26"/>
      <c r="D13" s="26"/>
      <c r="E13" s="26"/>
      <c r="F13" s="26"/>
    </row>
    <row r="14" spans="1:8" ht="22.35" customHeight="1" x14ac:dyDescent="0.3">
      <c r="A14" s="29" t="s">
        <v>151</v>
      </c>
      <c r="B14" s="26"/>
      <c r="C14" s="26"/>
      <c r="D14" s="26"/>
      <c r="E14" s="26"/>
      <c r="F14" s="26"/>
      <c r="G14" s="26"/>
      <c r="H14" s="26"/>
    </row>
    <row r="15" spans="1:8" ht="32.85" customHeight="1" x14ac:dyDescent="0.3">
      <c r="A15" s="26" t="s">
        <v>112</v>
      </c>
      <c r="B15" s="26"/>
      <c r="C15" s="26"/>
      <c r="D15" s="26"/>
      <c r="E15" s="26"/>
      <c r="F15" s="26"/>
      <c r="G15" s="26"/>
      <c r="H15" s="26"/>
    </row>
  </sheetData>
  <mergeCells count="7">
    <mergeCell ref="A14:H14"/>
    <mergeCell ref="A15:H15"/>
    <mergeCell ref="A1:H1"/>
    <mergeCell ref="A10:F10"/>
    <mergeCell ref="A11:F11"/>
    <mergeCell ref="A12:F12"/>
    <mergeCell ref="A13:F13"/>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zoomScale="97" zoomScaleNormal="97" workbookViewId="0">
      <pane xSplit="1" ySplit="2" topLeftCell="B4" activePane="bottomRight" state="frozen"/>
      <selection pane="topRight" activeCell="B1" sqref="B1"/>
      <selection pane="bottomLeft" activeCell="A12" sqref="A12"/>
      <selection pane="bottomRight" activeCell="E11" sqref="E11"/>
    </sheetView>
  </sheetViews>
  <sheetFormatPr baseColWidth="10" defaultColWidth="8.6640625" defaultRowHeight="14.4" x14ac:dyDescent="0.3"/>
  <cols>
    <col min="1" max="1" width="34" customWidth="1"/>
    <col min="2" max="3" width="22" customWidth="1"/>
    <col min="4" max="4" width="66" customWidth="1"/>
    <col min="5" max="5" width="17.33203125" customWidth="1"/>
  </cols>
  <sheetData>
    <row r="1" spans="1:5" ht="30" customHeight="1" x14ac:dyDescent="0.3">
      <c r="A1" s="26" t="s">
        <v>114</v>
      </c>
      <c r="B1" s="26"/>
      <c r="C1" s="26"/>
      <c r="D1" s="26"/>
    </row>
    <row r="2" spans="1:5" ht="20.25" customHeight="1" x14ac:dyDescent="0.3">
      <c r="A2" s="5" t="s">
        <v>4</v>
      </c>
      <c r="B2" s="5" t="s">
        <v>61</v>
      </c>
      <c r="C2" s="5" t="s">
        <v>62</v>
      </c>
      <c r="D2" s="5" t="s">
        <v>7</v>
      </c>
      <c r="E2" s="5" t="s">
        <v>8</v>
      </c>
    </row>
    <row r="3" spans="1:5" ht="60" customHeight="1" x14ac:dyDescent="0.3">
      <c r="A3" s="21" t="s">
        <v>63</v>
      </c>
      <c r="B3" s="22" t="s">
        <v>64</v>
      </c>
      <c r="C3" s="22" t="s">
        <v>65</v>
      </c>
      <c r="D3" s="30" t="s">
        <v>134</v>
      </c>
      <c r="E3" s="30" t="s">
        <v>40</v>
      </c>
    </row>
    <row r="4" spans="1:5" ht="60" customHeight="1" x14ac:dyDescent="0.3">
      <c r="A4" s="21" t="s">
        <v>66</v>
      </c>
      <c r="B4" s="22">
        <v>0.75</v>
      </c>
      <c r="C4" s="22">
        <v>0.75</v>
      </c>
      <c r="D4" s="30" t="s">
        <v>67</v>
      </c>
      <c r="E4" s="30" t="s">
        <v>68</v>
      </c>
    </row>
    <row r="5" spans="1:5" ht="30" customHeight="1" x14ac:dyDescent="0.3">
      <c r="A5" s="21" t="s">
        <v>124</v>
      </c>
      <c r="B5" s="22">
        <v>60</v>
      </c>
      <c r="C5" s="22" t="s">
        <v>40</v>
      </c>
      <c r="D5" s="30" t="s">
        <v>69</v>
      </c>
      <c r="E5" s="30" t="s">
        <v>152</v>
      </c>
    </row>
    <row r="6" spans="1:5" ht="30" customHeight="1" x14ac:dyDescent="0.3">
      <c r="A6" s="21" t="s">
        <v>120</v>
      </c>
      <c r="B6" s="22">
        <v>90</v>
      </c>
      <c r="C6" s="22" t="s">
        <v>40</v>
      </c>
      <c r="D6" s="30" t="s">
        <v>70</v>
      </c>
      <c r="E6" s="30" t="s">
        <v>152</v>
      </c>
    </row>
    <row r="7" spans="1:5" ht="30" customHeight="1" x14ac:dyDescent="0.3">
      <c r="A7" s="21" t="s">
        <v>121</v>
      </c>
      <c r="B7" s="22">
        <v>0.5</v>
      </c>
      <c r="C7" s="22" t="s">
        <v>40</v>
      </c>
      <c r="D7" s="30" t="s">
        <v>71</v>
      </c>
      <c r="E7" s="30" t="s">
        <v>72</v>
      </c>
    </row>
    <row r="8" spans="1:5" ht="30" customHeight="1" x14ac:dyDescent="0.3">
      <c r="A8" s="21" t="s">
        <v>122</v>
      </c>
      <c r="B8" s="22">
        <v>3</v>
      </c>
      <c r="C8" s="22" t="s">
        <v>40</v>
      </c>
      <c r="D8" s="30" t="s">
        <v>73</v>
      </c>
      <c r="E8" s="30" t="s">
        <v>72</v>
      </c>
    </row>
    <row r="9" spans="1:5" ht="60" customHeight="1" x14ac:dyDescent="0.3">
      <c r="A9" s="21" t="s">
        <v>123</v>
      </c>
      <c r="B9" s="22" t="s">
        <v>40</v>
      </c>
      <c r="C9" s="25">
        <v>5</v>
      </c>
      <c r="D9" s="30" t="s">
        <v>74</v>
      </c>
      <c r="E9" s="30" t="s">
        <v>115</v>
      </c>
    </row>
    <row r="10" spans="1:5" ht="30" customHeight="1" x14ac:dyDescent="0.3">
      <c r="A10" s="21" t="s">
        <v>133</v>
      </c>
      <c r="B10" s="22" t="s">
        <v>40</v>
      </c>
      <c r="C10" s="25">
        <v>30</v>
      </c>
      <c r="D10" s="30" t="s">
        <v>75</v>
      </c>
      <c r="E10" s="30" t="s">
        <v>115</v>
      </c>
    </row>
    <row r="11" spans="1:5" ht="60" customHeight="1" x14ac:dyDescent="0.3">
      <c r="A11" s="21" t="s">
        <v>153</v>
      </c>
      <c r="B11" s="22" t="s">
        <v>40</v>
      </c>
      <c r="C11" s="25">
        <v>0.5</v>
      </c>
      <c r="D11" s="30" t="s">
        <v>158</v>
      </c>
      <c r="E11" s="30" t="s">
        <v>159</v>
      </c>
    </row>
    <row r="12" spans="1:5" ht="147" customHeight="1" x14ac:dyDescent="0.3">
      <c r="A12" s="21" t="s">
        <v>118</v>
      </c>
      <c r="B12" s="23">
        <v>0.15</v>
      </c>
      <c r="C12" s="23" t="s">
        <v>40</v>
      </c>
      <c r="D12" s="30" t="s">
        <v>76</v>
      </c>
      <c r="E12" s="30" t="s">
        <v>154</v>
      </c>
    </row>
    <row r="13" spans="1:5" ht="42.75" customHeight="1" x14ac:dyDescent="0.3">
      <c r="A13" s="21" t="s">
        <v>119</v>
      </c>
      <c r="B13" s="24">
        <v>0.45</v>
      </c>
      <c r="C13" s="24" t="s">
        <v>40</v>
      </c>
      <c r="D13" s="30" t="s">
        <v>77</v>
      </c>
      <c r="E13" s="30" t="s">
        <v>154</v>
      </c>
    </row>
    <row r="14" spans="1:5" ht="36.75" customHeight="1" x14ac:dyDescent="0.3">
      <c r="A14" s="21" t="s">
        <v>117</v>
      </c>
      <c r="B14" s="24">
        <v>1</v>
      </c>
      <c r="C14" s="24" t="s">
        <v>40</v>
      </c>
      <c r="D14" s="30" t="s">
        <v>78</v>
      </c>
      <c r="E14" s="30" t="s">
        <v>79</v>
      </c>
    </row>
    <row r="15" spans="1:5" ht="45" customHeight="1" x14ac:dyDescent="0.3">
      <c r="A15" s="21" t="s">
        <v>116</v>
      </c>
      <c r="B15" s="24">
        <v>5</v>
      </c>
      <c r="C15" s="24" t="s">
        <v>40</v>
      </c>
      <c r="D15" s="30" t="s">
        <v>80</v>
      </c>
      <c r="E15" s="30" t="s">
        <v>79</v>
      </c>
    </row>
    <row r="16" spans="1:5" ht="41.25" customHeight="1" x14ac:dyDescent="0.3">
      <c r="A16" s="21" t="s">
        <v>81</v>
      </c>
      <c r="B16" s="24" t="s">
        <v>40</v>
      </c>
      <c r="C16" s="24">
        <v>0.05</v>
      </c>
      <c r="D16" s="30" t="s">
        <v>82</v>
      </c>
      <c r="E16" s="30" t="s">
        <v>155</v>
      </c>
    </row>
    <row r="17" spans="4:5" x14ac:dyDescent="0.3">
      <c r="D17" s="31"/>
      <c r="E17" s="31"/>
    </row>
    <row r="18" spans="4:5" x14ac:dyDescent="0.3">
      <c r="D18" s="31"/>
      <c r="E18" s="31"/>
    </row>
  </sheetData>
  <mergeCells count="1">
    <mergeCell ref="A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zoomScaleNormal="100" workbookViewId="0">
      <pane ySplit="2" topLeftCell="A3" activePane="bottomLeft" state="frozen"/>
      <selection pane="bottomLeft" activeCell="B9" sqref="B9"/>
    </sheetView>
  </sheetViews>
  <sheetFormatPr baseColWidth="10" defaultColWidth="8.6640625" defaultRowHeight="14.4" x14ac:dyDescent="0.3"/>
  <cols>
    <col min="1" max="1" width="24" customWidth="1"/>
    <col min="2" max="2" width="46" customWidth="1"/>
    <col min="3" max="3" width="18" customWidth="1"/>
    <col min="4" max="4" width="20" customWidth="1"/>
    <col min="5" max="6" width="22" customWidth="1"/>
  </cols>
  <sheetData>
    <row r="1" spans="1:6" ht="19.5" customHeight="1" x14ac:dyDescent="0.3">
      <c r="A1" s="27" t="s">
        <v>83</v>
      </c>
      <c r="B1" s="27"/>
      <c r="C1" s="27"/>
      <c r="D1" s="27"/>
      <c r="E1" s="27"/>
      <c r="F1" s="27"/>
    </row>
    <row r="2" spans="1:6" ht="46.5" customHeight="1" x14ac:dyDescent="0.3">
      <c r="A2" s="5" t="s">
        <v>84</v>
      </c>
      <c r="B2" s="5" t="s">
        <v>85</v>
      </c>
      <c r="C2" s="5" t="s">
        <v>86</v>
      </c>
      <c r="D2" s="5" t="s">
        <v>87</v>
      </c>
      <c r="E2" s="32" t="s">
        <v>156</v>
      </c>
      <c r="F2" s="5" t="s">
        <v>88</v>
      </c>
    </row>
    <row r="3" spans="1:6" ht="45" customHeight="1" x14ac:dyDescent="0.3">
      <c r="A3" s="16" t="s">
        <v>128</v>
      </c>
      <c r="B3" s="16" t="s">
        <v>89</v>
      </c>
      <c r="C3" s="17" t="s">
        <v>90</v>
      </c>
      <c r="D3" s="16" t="s">
        <v>91</v>
      </c>
      <c r="E3" s="17" t="s">
        <v>40</v>
      </c>
      <c r="F3" s="16" t="s">
        <v>92</v>
      </c>
    </row>
    <row r="4" spans="1:6" ht="45" customHeight="1" x14ac:dyDescent="0.3">
      <c r="A4" s="16" t="s">
        <v>129</v>
      </c>
      <c r="B4" s="16" t="s">
        <v>93</v>
      </c>
      <c r="C4" s="17" t="s">
        <v>94</v>
      </c>
      <c r="D4" s="16" t="s">
        <v>91</v>
      </c>
      <c r="E4" s="17" t="s">
        <v>40</v>
      </c>
      <c r="F4" s="16" t="s">
        <v>95</v>
      </c>
    </row>
    <row r="5" spans="1:6" ht="45" customHeight="1" x14ac:dyDescent="0.3">
      <c r="A5" s="16" t="s">
        <v>130</v>
      </c>
      <c r="B5" s="21" t="s">
        <v>157</v>
      </c>
      <c r="C5" s="17" t="s">
        <v>94</v>
      </c>
      <c r="D5" s="16" t="s">
        <v>96</v>
      </c>
      <c r="E5" s="17">
        <v>8</v>
      </c>
      <c r="F5" s="16" t="s">
        <v>95</v>
      </c>
    </row>
  </sheetData>
  <mergeCells count="1">
    <mergeCell ref="A1:F1"/>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
  <sheetViews>
    <sheetView tabSelected="1" topLeftCell="A12" zoomScaleNormal="100" workbookViewId="0">
      <selection activeCell="C16" sqref="C16"/>
    </sheetView>
  </sheetViews>
  <sheetFormatPr baseColWidth="10" defaultColWidth="8.6640625" defaultRowHeight="14.4" x14ac:dyDescent="0.3"/>
  <cols>
    <col min="1" max="1" width="8" customWidth="1"/>
    <col min="2" max="2" width="100" customWidth="1"/>
  </cols>
  <sheetData>
    <row r="1" spans="1:2" ht="25.5" customHeight="1" x14ac:dyDescent="0.3">
      <c r="A1" s="18" t="s">
        <v>97</v>
      </c>
      <c r="B1" s="18" t="s">
        <v>131</v>
      </c>
    </row>
    <row r="2" spans="1:2" ht="45" customHeight="1" x14ac:dyDescent="0.3">
      <c r="A2" s="13">
        <v>1</v>
      </c>
      <c r="B2" s="4" t="s">
        <v>98</v>
      </c>
    </row>
    <row r="3" spans="1:2" ht="45" customHeight="1" x14ac:dyDescent="0.3">
      <c r="A3" s="13">
        <v>2</v>
      </c>
      <c r="B3" s="4" t="s">
        <v>99</v>
      </c>
    </row>
    <row r="4" spans="1:2" ht="45" customHeight="1" x14ac:dyDescent="0.3">
      <c r="A4" s="13">
        <v>3</v>
      </c>
      <c r="B4" s="4" t="s">
        <v>100</v>
      </c>
    </row>
    <row r="5" spans="1:2" ht="45" customHeight="1" x14ac:dyDescent="0.3">
      <c r="A5" s="13">
        <v>4</v>
      </c>
      <c r="B5" s="4" t="s">
        <v>101</v>
      </c>
    </row>
    <row r="6" spans="1:2" ht="45" customHeight="1" x14ac:dyDescent="0.3">
      <c r="A6" s="13">
        <v>5</v>
      </c>
      <c r="B6" s="4" t="s">
        <v>102</v>
      </c>
    </row>
    <row r="7" spans="1:2" ht="45" customHeight="1" x14ac:dyDescent="0.3">
      <c r="A7" s="13">
        <v>6</v>
      </c>
      <c r="B7" s="4" t="s">
        <v>103</v>
      </c>
    </row>
    <row r="8" spans="1:2" ht="45" customHeight="1" x14ac:dyDescent="0.3">
      <c r="A8" s="13">
        <v>7</v>
      </c>
      <c r="B8" s="4" t="s">
        <v>104</v>
      </c>
    </row>
    <row r="9" spans="1:2" ht="45" customHeight="1" x14ac:dyDescent="0.3">
      <c r="A9" s="13">
        <v>8</v>
      </c>
      <c r="B9" s="4" t="s">
        <v>105</v>
      </c>
    </row>
    <row r="10" spans="1:2" ht="45" customHeight="1" x14ac:dyDescent="0.3">
      <c r="A10" s="13">
        <v>9</v>
      </c>
      <c r="B10" s="4" t="s">
        <v>106</v>
      </c>
    </row>
    <row r="11" spans="1:2" ht="45" customHeight="1" x14ac:dyDescent="0.3">
      <c r="A11" s="13">
        <v>10</v>
      </c>
      <c r="B11" s="4" t="s">
        <v>107</v>
      </c>
    </row>
    <row r="12" spans="1:2" ht="45" customHeight="1" x14ac:dyDescent="0.3">
      <c r="A12" s="13">
        <v>11</v>
      </c>
      <c r="B12" s="4" t="s">
        <v>132</v>
      </c>
    </row>
    <row r="13" spans="1:2" ht="27" customHeight="1" x14ac:dyDescent="0.3">
      <c r="A13" s="13">
        <v>12</v>
      </c>
      <c r="B13" s="4" t="s">
        <v>108</v>
      </c>
    </row>
    <row r="14" spans="1:2" x14ac:dyDescent="0.3">
      <c r="A14" s="13">
        <v>13</v>
      </c>
      <c r="B14" s="4" t="s">
        <v>109</v>
      </c>
    </row>
    <row r="15" spans="1:2" ht="27" customHeight="1" x14ac:dyDescent="0.3">
      <c r="A15" s="13">
        <v>14</v>
      </c>
      <c r="B15" s="4" t="s">
        <v>110</v>
      </c>
    </row>
    <row r="16" spans="1:2" ht="82.8" x14ac:dyDescent="0.3">
      <c r="A16" s="13">
        <v>15</v>
      </c>
      <c r="B16" s="20" t="s">
        <v>111</v>
      </c>
    </row>
    <row r="17" spans="1:2" ht="82.8" x14ac:dyDescent="0.3">
      <c r="A17" s="13">
        <v>16</v>
      </c>
      <c r="B17" s="20" t="s">
        <v>113</v>
      </c>
    </row>
    <row r="18" spans="1:2" ht="69" x14ac:dyDescent="0.3">
      <c r="A18" s="13">
        <v>17</v>
      </c>
      <c r="B18" s="20" t="s">
        <v>163</v>
      </c>
    </row>
    <row r="19" spans="1:2" x14ac:dyDescent="0.3">
      <c r="B19" s="19"/>
    </row>
    <row r="20" spans="1:2" x14ac:dyDescent="0.3">
      <c r="B20" s="19"/>
    </row>
    <row r="21" spans="1:2" x14ac:dyDescent="0.3">
      <c r="B21" s="19"/>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Leer</vt:lpstr>
      <vt:lpstr>Parametros_Generales</vt:lpstr>
      <vt:lpstr>Zonas_Layout</vt:lpstr>
      <vt:lpstr>Deteccion</vt:lpstr>
      <vt:lpstr>Escenarios</vt:lpstr>
      <vt:lpstr>Hipotesis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LYDIA ALVAREZ ALCALDE</cp:lastModifiedBy>
  <cp:revision>0</cp:revision>
  <dcterms:created xsi:type="dcterms:W3CDTF">2026-08-10T14:26:33Z</dcterms:created>
  <dcterms:modified xsi:type="dcterms:W3CDTF">2026-09-20T15:11:28Z</dcterms:modified>
  <dc:language>en-US</dc:language>
</cp:coreProperties>
</file>